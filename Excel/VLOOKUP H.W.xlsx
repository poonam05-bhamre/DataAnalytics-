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esktop\Poonam Data Analytics\"/>
    </mc:Choice>
  </mc:AlternateContent>
  <bookViews>
    <workbookView xWindow="0" yWindow="0" windowWidth="19200" windowHeight="693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4" i="1" l="1"/>
  <c r="D63" i="1"/>
  <c r="D60" i="1"/>
  <c r="D57" i="1"/>
  <c r="D54" i="1"/>
  <c r="D51" i="1"/>
  <c r="D48" i="1"/>
  <c r="D45" i="1"/>
  <c r="D39" i="1"/>
  <c r="D36" i="1"/>
  <c r="D42" i="1"/>
</calcChain>
</file>

<file path=xl/sharedStrings.xml><?xml version="1.0" encoding="utf-8"?>
<sst xmlns="http://schemas.openxmlformats.org/spreadsheetml/2006/main" count="248" uniqueCount="104">
  <si>
    <t>SaleID</t>
  </si>
  <si>
    <t>Date</t>
  </si>
  <si>
    <t>CustomerName</t>
  </si>
  <si>
    <t>ProductName</t>
  </si>
  <si>
    <t>Category</t>
  </si>
  <si>
    <t>Quantity</t>
  </si>
  <si>
    <t>UnitPrice</t>
  </si>
  <si>
    <t>TotalAmount</t>
  </si>
  <si>
    <t>SalesPerson</t>
  </si>
  <si>
    <t>Region</t>
  </si>
  <si>
    <t>PaymentMethod</t>
  </si>
  <si>
    <t>Status</t>
  </si>
  <si>
    <t>Rahul Deshmukh</t>
  </si>
  <si>
    <t>Laptop</t>
  </si>
  <si>
    <t>Electronics</t>
  </si>
  <si>
    <t>Anita Rao</t>
  </si>
  <si>
    <t>West</t>
  </si>
  <si>
    <t>UPI</t>
  </si>
  <si>
    <t>Paid</t>
  </si>
  <si>
    <t>Neha Patil</t>
  </si>
  <si>
    <t>Smartphone</t>
  </si>
  <si>
    <t>Rohit Sharma</t>
  </si>
  <si>
    <t>North</t>
  </si>
  <si>
    <t>Credit Card</t>
  </si>
  <si>
    <t>Amit Joshi</t>
  </si>
  <si>
    <t>Office Chair</t>
  </si>
  <si>
    <t>Furniture</t>
  </si>
  <si>
    <t>Sneha Kulkarni</t>
  </si>
  <si>
    <t>South</t>
  </si>
  <si>
    <t>Manoj Bhosale</t>
  </si>
  <si>
    <t>Air Fryer</t>
  </si>
  <si>
    <t>Home Appliances</t>
  </si>
  <si>
    <t>Karan Singh</t>
  </si>
  <si>
    <t>East</t>
  </si>
  <si>
    <t>Cash</t>
  </si>
  <si>
    <t>Swati Gaikwad</t>
  </si>
  <si>
    <t>Table Fan</t>
  </si>
  <si>
    <t>Deepa Nair</t>
  </si>
  <si>
    <t>Vikas Jadhav</t>
  </si>
  <si>
    <t>LED TV</t>
  </si>
  <si>
    <t>Pooja Sawant</t>
  </si>
  <si>
    <t>Bluetooth Speaker</t>
  </si>
  <si>
    <t>Harsh Yadav</t>
  </si>
  <si>
    <t>Study Table</t>
  </si>
  <si>
    <t>Debit Card</t>
  </si>
  <si>
    <t>Mahesh More</t>
  </si>
  <si>
    <t>Refrigerator</t>
  </si>
  <si>
    <t>Isha Lokhande</t>
  </si>
  <si>
    <t>Lamp</t>
  </si>
  <si>
    <t>Aditya Pawar</t>
  </si>
  <si>
    <t>Microwave</t>
  </si>
  <si>
    <t>Komal Shinde</t>
  </si>
  <si>
    <t>Printer</t>
  </si>
  <si>
    <t>Nitin Kamble</t>
  </si>
  <si>
    <t>Shoes</t>
  </si>
  <si>
    <t>Fashion</t>
  </si>
  <si>
    <t>Tanvi Joshi</t>
  </si>
  <si>
    <t>T-shirt</t>
  </si>
  <si>
    <t>Omkar Salve</t>
  </si>
  <si>
    <t>Backpack</t>
  </si>
  <si>
    <t>Priya Chavan</t>
  </si>
  <si>
    <t>Washing Machine</t>
  </si>
  <si>
    <t>Rajesh Kadam</t>
  </si>
  <si>
    <t>Monitor</t>
  </si>
  <si>
    <t>Vaishnavi Patil</t>
  </si>
  <si>
    <t>Ceiling Fan</t>
  </si>
  <si>
    <t>Suresh Desai</t>
  </si>
  <si>
    <t>Water Purifier</t>
  </si>
  <si>
    <t>Aditi Phadke</t>
  </si>
  <si>
    <t>Dining Table</t>
  </si>
  <si>
    <t>Anand Gore</t>
  </si>
  <si>
    <t>Sandwich Maker</t>
  </si>
  <si>
    <t>Monika Pawar</t>
  </si>
  <si>
    <t>Keyboard</t>
  </si>
  <si>
    <t>Suraj Thakur</t>
  </si>
  <si>
    <t>Jeans</t>
  </si>
  <si>
    <t>Jaya Kale</t>
  </si>
  <si>
    <t>Dressing Table</t>
  </si>
  <si>
    <t>Tejas More</t>
  </si>
  <si>
    <t>Hair Dryer</t>
  </si>
  <si>
    <t>Manasi Khedekar</t>
  </si>
  <si>
    <t>Smartwatch</t>
  </si>
  <si>
    <t>Shubham Salunkhe</t>
  </si>
  <si>
    <t>Handbag</t>
  </si>
  <si>
    <t>Krishna Jadhav</t>
  </si>
  <si>
    <t>Books</t>
  </si>
  <si>
    <t>Stationery</t>
  </si>
  <si>
    <t>Sakshi Wagh</t>
  </si>
  <si>
    <t>Notebook</t>
  </si>
  <si>
    <t>Vaibhav Ingale</t>
  </si>
  <si>
    <t>Water Bottle</t>
  </si>
  <si>
    <r>
      <t xml:space="preserve">Write a VLOOKUP formula to return the </t>
    </r>
    <r>
      <rPr>
        <b/>
        <sz val="11"/>
        <color theme="1"/>
        <rFont val="Calibri"/>
        <family val="2"/>
        <scheme val="minor"/>
      </rPr>
      <t>ProductName</t>
    </r>
    <r>
      <rPr>
        <sz val="11"/>
        <color theme="1"/>
        <rFont val="Calibri"/>
        <family val="2"/>
        <scheme val="minor"/>
      </rPr>
      <t xml:space="preserve"> for </t>
    </r>
    <r>
      <rPr>
        <b/>
        <sz val="11"/>
        <color theme="1"/>
        <rFont val="Calibri"/>
        <family val="2"/>
        <scheme val="minor"/>
      </rPr>
      <t>SaleID = 12</t>
    </r>
    <r>
      <rPr>
        <sz val="11"/>
        <color theme="1"/>
        <rFont val="Calibri"/>
        <family val="2"/>
        <scheme val="minor"/>
      </rPr>
      <t>.</t>
    </r>
  </si>
  <si>
    <r>
      <t xml:space="preserve">Using VLOOKUP, fetch the </t>
    </r>
    <r>
      <rPr>
        <b/>
        <sz val="11"/>
        <color theme="1"/>
        <rFont val="Calibri"/>
        <family val="2"/>
        <scheme val="minor"/>
      </rPr>
      <t>UnitPrice</t>
    </r>
    <r>
      <rPr>
        <sz val="11"/>
        <color theme="1"/>
        <rFont val="Calibri"/>
        <family val="2"/>
        <scheme val="minor"/>
      </rPr>
      <t xml:space="preserve"> of the product purchased by </t>
    </r>
    <r>
      <rPr>
        <b/>
        <sz val="11"/>
        <color theme="1"/>
        <rFont val="Calibri"/>
        <family val="2"/>
        <scheme val="minor"/>
      </rPr>
      <t>CustomerName = "Mahesh More"</t>
    </r>
    <r>
      <rPr>
        <sz val="11"/>
        <color theme="1"/>
        <rFont val="Calibri"/>
        <family val="2"/>
        <scheme val="minor"/>
      </rPr>
      <t>.</t>
    </r>
  </si>
  <si>
    <r>
      <t xml:space="preserve">Use VLOOKUP to find the </t>
    </r>
    <r>
      <rPr>
        <b/>
        <sz val="11"/>
        <color theme="1"/>
        <rFont val="Calibri"/>
        <family val="2"/>
        <scheme val="minor"/>
      </rPr>
      <t>Quantity sold</t>
    </r>
    <r>
      <rPr>
        <sz val="11"/>
        <color theme="1"/>
        <rFont val="Calibri"/>
        <family val="2"/>
        <scheme val="minor"/>
      </rPr>
      <t xml:space="preserve"> for </t>
    </r>
    <r>
      <rPr>
        <b/>
        <sz val="11"/>
        <color theme="1"/>
        <rFont val="Calibri"/>
        <family val="2"/>
        <scheme val="minor"/>
      </rPr>
      <t>SaleID = 25</t>
    </r>
    <r>
      <rPr>
        <sz val="11"/>
        <color theme="1"/>
        <rFont val="Calibri"/>
        <family val="2"/>
        <scheme val="minor"/>
      </rPr>
      <t>.</t>
    </r>
  </si>
  <si>
    <t>Write a VLOOKUP formula to return the Region where SaleID = 19 was made.</t>
  </si>
  <si>
    <t>Using VLOOKUP, get the SalesPerson who handled the sale for SaleID = 5.</t>
  </si>
  <si>
    <t>Use VLOOKUP to find the PaymentMethod used for Customer = "Vaishnavi Patil".</t>
  </si>
  <si>
    <t>Create a VLOOKUP formula that returns the TotalAmount for ProductName = "Refrigerator".</t>
  </si>
  <si>
    <t>Return the Status of the sale for SaleID = 8 using VLOOKUP.</t>
  </si>
  <si>
    <t>Using VLOOKUP, find the Category of the product purchased by Customer = "Tanvi Joshi".</t>
  </si>
  <si>
    <t>Write a VLOOKUP formula to get the Date of the transaction for SaleID = 17.</t>
  </si>
  <si>
    <t>ANS</t>
  </si>
  <si>
    <t>01-02-2025</t>
  </si>
  <si>
    <t>19-01-2025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</si>
</sst>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1" xfId="0" applyBorder="1"/>
    <xf numFmtId="0" fontId="0" fillId="3" borderId="1" xfId="0" applyFill="1" applyBorder="1" applyAlignment="1">
      <alignment horizontal="center"/>
    </xf>
    <xf numFmtId="14" fontId="0" fillId="3" borderId="1" xfId="0" applyNumberFormat="1" applyFill="1" applyBorder="1" applyAlignment="1">
      <alignment horizontal="center"/>
    </xf>
    <xf numFmtId="0" fontId="0" fillId="3" borderId="1" xfId="0" applyFill="1" applyBorder="1"/>
    <xf numFmtId="14" fontId="0" fillId="0" borderId="1" xfId="0" applyNumberFormat="1" applyBorder="1"/>
    <xf numFmtId="0" fontId="0" fillId="0" borderId="2" xfId="0" applyBorder="1"/>
    <xf numFmtId="0" fontId="0" fillId="0" borderId="0" xfId="0" applyAlignment="1">
      <alignment horizontal="left"/>
    </xf>
    <xf numFmtId="14" fontId="0" fillId="0" borderId="1" xfId="0" quotePrefix="1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64"/>
  <sheetViews>
    <sheetView tabSelected="1" zoomScale="98" zoomScaleNormal="98" workbookViewId="0"/>
  </sheetViews>
  <sheetFormatPr defaultRowHeight="14.5" x14ac:dyDescent="0.35"/>
  <cols>
    <col min="1" max="1" width="6.1796875" bestFit="1" customWidth="1"/>
    <col min="2" max="2" width="10.36328125" bestFit="1" customWidth="1"/>
    <col min="3" max="3" width="16.1796875" bestFit="1" customWidth="1"/>
    <col min="4" max="4" width="16.08984375" bestFit="1" customWidth="1"/>
    <col min="5" max="5" width="15.08984375" bestFit="1" customWidth="1"/>
    <col min="6" max="6" width="8.36328125" bestFit="1" customWidth="1"/>
    <col min="7" max="7" width="8.6328125" bestFit="1" customWidth="1"/>
    <col min="8" max="8" width="12.08984375" bestFit="1" customWidth="1"/>
    <col min="9" max="9" width="12.81640625" bestFit="1" customWidth="1"/>
    <col min="10" max="10" width="6.81640625" bestFit="1" customWidth="1"/>
    <col min="11" max="11" width="15.453125" bestFit="1" customWidth="1"/>
    <col min="12" max="12" width="6.1796875" bestFit="1" customWidth="1"/>
  </cols>
  <sheetData>
    <row r="1" spans="1:12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5">
      <c r="A2" s="3">
        <v>1</v>
      </c>
      <c r="B2" s="4">
        <v>45660</v>
      </c>
      <c r="C2" s="3" t="s">
        <v>12</v>
      </c>
      <c r="D2" s="3" t="s">
        <v>13</v>
      </c>
      <c r="E2" s="3" t="s">
        <v>14</v>
      </c>
      <c r="F2" s="5">
        <v>1</v>
      </c>
      <c r="G2" s="5">
        <v>55000</v>
      </c>
      <c r="H2" s="3">
        <v>55000</v>
      </c>
      <c r="I2" s="5" t="s">
        <v>15</v>
      </c>
      <c r="J2" s="5" t="s">
        <v>16</v>
      </c>
      <c r="K2" s="5" t="s">
        <v>17</v>
      </c>
      <c r="L2" s="5" t="s">
        <v>18</v>
      </c>
    </row>
    <row r="3" spans="1:12" x14ac:dyDescent="0.35">
      <c r="A3" s="3">
        <v>2</v>
      </c>
      <c r="B3" s="4">
        <v>45661</v>
      </c>
      <c r="C3" s="3" t="s">
        <v>19</v>
      </c>
      <c r="D3" s="3" t="s">
        <v>20</v>
      </c>
      <c r="E3" s="3" t="s">
        <v>14</v>
      </c>
      <c r="F3" s="5">
        <v>2</v>
      </c>
      <c r="G3" s="5">
        <v>18000</v>
      </c>
      <c r="H3" s="3">
        <v>36000</v>
      </c>
      <c r="I3" s="5" t="s">
        <v>21</v>
      </c>
      <c r="J3" s="5" t="s">
        <v>22</v>
      </c>
      <c r="K3" s="5" t="s">
        <v>23</v>
      </c>
      <c r="L3" s="5" t="s">
        <v>18</v>
      </c>
    </row>
    <row r="4" spans="1:12" x14ac:dyDescent="0.35">
      <c r="A4" s="3">
        <v>3</v>
      </c>
      <c r="B4" s="4">
        <v>45662</v>
      </c>
      <c r="C4" s="3" t="s">
        <v>24</v>
      </c>
      <c r="D4" s="3" t="s">
        <v>25</v>
      </c>
      <c r="E4" s="3" t="s">
        <v>26</v>
      </c>
      <c r="F4" s="5">
        <v>3</v>
      </c>
      <c r="G4" s="5">
        <v>4500</v>
      </c>
      <c r="H4" s="3">
        <v>13500</v>
      </c>
      <c r="I4" s="5" t="s">
        <v>27</v>
      </c>
      <c r="J4" s="5" t="s">
        <v>28</v>
      </c>
      <c r="K4" s="5" t="s">
        <v>17</v>
      </c>
      <c r="L4" s="5" t="s">
        <v>18</v>
      </c>
    </row>
    <row r="5" spans="1:12" x14ac:dyDescent="0.35">
      <c r="A5" s="6">
        <v>4</v>
      </c>
      <c r="B5" s="7">
        <v>45663</v>
      </c>
      <c r="C5" s="6" t="s">
        <v>29</v>
      </c>
      <c r="D5" s="6" t="s">
        <v>30</v>
      </c>
      <c r="E5" s="6" t="s">
        <v>31</v>
      </c>
      <c r="F5" s="8">
        <v>1</v>
      </c>
      <c r="G5" s="8">
        <v>7000</v>
      </c>
      <c r="H5" s="6">
        <v>7000</v>
      </c>
      <c r="I5" s="5" t="s">
        <v>32</v>
      </c>
      <c r="J5" s="5" t="s">
        <v>33</v>
      </c>
      <c r="K5" s="5" t="s">
        <v>34</v>
      </c>
      <c r="L5" s="5" t="s">
        <v>18</v>
      </c>
    </row>
    <row r="6" spans="1:12" x14ac:dyDescent="0.35">
      <c r="A6" s="6">
        <v>5</v>
      </c>
      <c r="B6" s="7">
        <v>45664</v>
      </c>
      <c r="C6" s="6" t="s">
        <v>35</v>
      </c>
      <c r="D6" s="6" t="s">
        <v>36</v>
      </c>
      <c r="E6" s="6" t="s">
        <v>31</v>
      </c>
      <c r="F6" s="8">
        <v>2</v>
      </c>
      <c r="G6" s="8">
        <v>2300</v>
      </c>
      <c r="H6" s="6">
        <v>4600</v>
      </c>
      <c r="I6" s="5" t="s">
        <v>37</v>
      </c>
      <c r="J6" s="5" t="s">
        <v>16</v>
      </c>
      <c r="K6" s="5" t="s">
        <v>17</v>
      </c>
      <c r="L6" s="5" t="s">
        <v>18</v>
      </c>
    </row>
    <row r="7" spans="1:12" x14ac:dyDescent="0.35">
      <c r="A7" s="6">
        <v>6</v>
      </c>
      <c r="B7" s="7">
        <v>45665</v>
      </c>
      <c r="C7" s="6" t="s">
        <v>38</v>
      </c>
      <c r="D7" s="6" t="s">
        <v>39</v>
      </c>
      <c r="E7" s="6" t="s">
        <v>14</v>
      </c>
      <c r="F7" s="8">
        <v>1</v>
      </c>
      <c r="G7" s="8">
        <v>32000</v>
      </c>
      <c r="H7" s="6">
        <v>32000</v>
      </c>
      <c r="I7" s="5" t="s">
        <v>15</v>
      </c>
      <c r="J7" s="5" t="s">
        <v>22</v>
      </c>
      <c r="K7" s="5" t="s">
        <v>23</v>
      </c>
      <c r="L7" s="5" t="s">
        <v>18</v>
      </c>
    </row>
    <row r="8" spans="1:12" x14ac:dyDescent="0.35">
      <c r="A8" s="3">
        <v>7</v>
      </c>
      <c r="B8" s="4">
        <v>45666</v>
      </c>
      <c r="C8" s="3" t="s">
        <v>40</v>
      </c>
      <c r="D8" s="3" t="s">
        <v>41</v>
      </c>
      <c r="E8" s="3" t="s">
        <v>14</v>
      </c>
      <c r="F8" s="5">
        <v>2</v>
      </c>
      <c r="G8" s="5">
        <v>1500</v>
      </c>
      <c r="H8" s="3">
        <v>3000</v>
      </c>
      <c r="I8" s="5" t="s">
        <v>21</v>
      </c>
      <c r="J8" s="5" t="s">
        <v>28</v>
      </c>
      <c r="K8" s="5" t="s">
        <v>17</v>
      </c>
      <c r="L8" s="5" t="s">
        <v>18</v>
      </c>
    </row>
    <row r="9" spans="1:12" x14ac:dyDescent="0.35">
      <c r="A9" s="3">
        <v>8</v>
      </c>
      <c r="B9" s="4">
        <v>45667</v>
      </c>
      <c r="C9" s="3" t="s">
        <v>42</v>
      </c>
      <c r="D9" s="3" t="s">
        <v>43</v>
      </c>
      <c r="E9" s="3" t="s">
        <v>26</v>
      </c>
      <c r="F9" s="5">
        <v>1</v>
      </c>
      <c r="G9" s="5">
        <v>6000</v>
      </c>
      <c r="H9" s="3">
        <v>6000</v>
      </c>
      <c r="I9" s="5" t="s">
        <v>27</v>
      </c>
      <c r="J9" s="5" t="s">
        <v>33</v>
      </c>
      <c r="K9" s="5" t="s">
        <v>44</v>
      </c>
      <c r="L9" s="5" t="s">
        <v>18</v>
      </c>
    </row>
    <row r="10" spans="1:12" x14ac:dyDescent="0.35">
      <c r="A10" s="3">
        <v>9</v>
      </c>
      <c r="B10" s="9">
        <v>45668</v>
      </c>
      <c r="C10" s="5" t="s">
        <v>45</v>
      </c>
      <c r="D10" s="5" t="s">
        <v>46</v>
      </c>
      <c r="E10" s="5" t="s">
        <v>31</v>
      </c>
      <c r="F10" s="5">
        <v>1</v>
      </c>
      <c r="G10" s="5">
        <v>28000</v>
      </c>
      <c r="H10" s="3">
        <v>28000</v>
      </c>
      <c r="I10" s="5" t="s">
        <v>32</v>
      </c>
      <c r="J10" s="5" t="s">
        <v>16</v>
      </c>
      <c r="K10" s="5" t="s">
        <v>17</v>
      </c>
      <c r="L10" s="5" t="s">
        <v>18</v>
      </c>
    </row>
    <row r="11" spans="1:12" x14ac:dyDescent="0.35">
      <c r="A11" s="3">
        <v>10</v>
      </c>
      <c r="B11" s="9">
        <v>45669</v>
      </c>
      <c r="C11" s="5" t="s">
        <v>47</v>
      </c>
      <c r="D11" s="5" t="s">
        <v>48</v>
      </c>
      <c r="E11" s="5" t="s">
        <v>26</v>
      </c>
      <c r="F11" s="5">
        <v>3</v>
      </c>
      <c r="G11" s="5">
        <v>900</v>
      </c>
      <c r="H11" s="3">
        <v>2700</v>
      </c>
      <c r="I11" s="5" t="s">
        <v>37</v>
      </c>
      <c r="J11" s="5" t="s">
        <v>22</v>
      </c>
      <c r="K11" s="5" t="s">
        <v>34</v>
      </c>
      <c r="L11" s="5" t="s">
        <v>18</v>
      </c>
    </row>
    <row r="12" spans="1:12" x14ac:dyDescent="0.35">
      <c r="A12" s="3">
        <v>11</v>
      </c>
      <c r="B12" s="9">
        <v>45670</v>
      </c>
      <c r="C12" s="3" t="s">
        <v>49</v>
      </c>
      <c r="D12" s="5" t="s">
        <v>50</v>
      </c>
      <c r="E12" s="5" t="s">
        <v>31</v>
      </c>
      <c r="F12" s="5">
        <v>1</v>
      </c>
      <c r="G12" s="5">
        <v>8500</v>
      </c>
      <c r="H12" s="3">
        <v>8500</v>
      </c>
      <c r="I12" s="5" t="s">
        <v>15</v>
      </c>
      <c r="J12" s="5" t="s">
        <v>28</v>
      </c>
      <c r="K12" s="5" t="s">
        <v>23</v>
      </c>
      <c r="L12" s="5" t="s">
        <v>18</v>
      </c>
    </row>
    <row r="13" spans="1:12" x14ac:dyDescent="0.35">
      <c r="A13" s="3">
        <v>12</v>
      </c>
      <c r="B13" s="9">
        <v>45671</v>
      </c>
      <c r="C13" s="5" t="s">
        <v>51</v>
      </c>
      <c r="D13" s="5" t="s">
        <v>52</v>
      </c>
      <c r="E13" s="5" t="s">
        <v>14</v>
      </c>
      <c r="F13" s="5">
        <v>1</v>
      </c>
      <c r="G13" s="5">
        <v>12000</v>
      </c>
      <c r="H13" s="3">
        <v>12000</v>
      </c>
      <c r="I13" s="5" t="s">
        <v>21</v>
      </c>
      <c r="J13" s="5" t="s">
        <v>33</v>
      </c>
      <c r="K13" s="5" t="s">
        <v>17</v>
      </c>
      <c r="L13" s="5" t="s">
        <v>18</v>
      </c>
    </row>
    <row r="14" spans="1:12" x14ac:dyDescent="0.35">
      <c r="A14" s="3">
        <v>13</v>
      </c>
      <c r="B14" s="9">
        <v>45672</v>
      </c>
      <c r="C14" s="5" t="s">
        <v>53</v>
      </c>
      <c r="D14" s="5" t="s">
        <v>54</v>
      </c>
      <c r="E14" s="5" t="s">
        <v>55</v>
      </c>
      <c r="F14" s="5">
        <v>2</v>
      </c>
      <c r="G14" s="5">
        <v>2000</v>
      </c>
      <c r="H14" s="3">
        <v>4000</v>
      </c>
      <c r="I14" s="5" t="s">
        <v>27</v>
      </c>
      <c r="J14" s="5" t="s">
        <v>16</v>
      </c>
      <c r="K14" s="5" t="s">
        <v>44</v>
      </c>
      <c r="L14" s="5" t="s">
        <v>18</v>
      </c>
    </row>
    <row r="15" spans="1:12" x14ac:dyDescent="0.35">
      <c r="A15" s="3">
        <v>14</v>
      </c>
      <c r="B15" s="9">
        <v>45673</v>
      </c>
      <c r="C15" s="5" t="s">
        <v>56</v>
      </c>
      <c r="D15" s="5" t="s">
        <v>57</v>
      </c>
      <c r="E15" s="5" t="s">
        <v>55</v>
      </c>
      <c r="F15" s="5">
        <v>4</v>
      </c>
      <c r="G15" s="5">
        <v>400</v>
      </c>
      <c r="H15" s="3">
        <v>1600</v>
      </c>
      <c r="I15" s="5" t="s">
        <v>32</v>
      </c>
      <c r="J15" s="5" t="s">
        <v>22</v>
      </c>
      <c r="K15" s="5" t="s">
        <v>17</v>
      </c>
      <c r="L15" s="5" t="s">
        <v>18</v>
      </c>
    </row>
    <row r="16" spans="1:12" x14ac:dyDescent="0.35">
      <c r="A16" s="3">
        <v>15</v>
      </c>
      <c r="B16" s="9">
        <v>45674</v>
      </c>
      <c r="C16" s="5" t="s">
        <v>58</v>
      </c>
      <c r="D16" s="5" t="s">
        <v>59</v>
      </c>
      <c r="E16" s="5" t="s">
        <v>55</v>
      </c>
      <c r="F16" s="5">
        <v>1</v>
      </c>
      <c r="G16" s="5">
        <v>1500</v>
      </c>
      <c r="H16" s="3">
        <v>1500</v>
      </c>
      <c r="I16" s="5" t="s">
        <v>37</v>
      </c>
      <c r="J16" s="5" t="s">
        <v>28</v>
      </c>
      <c r="K16" s="5" t="s">
        <v>34</v>
      </c>
      <c r="L16" s="5" t="s">
        <v>18</v>
      </c>
    </row>
    <row r="17" spans="1:12" x14ac:dyDescent="0.35">
      <c r="A17" s="3">
        <v>16</v>
      </c>
      <c r="B17" s="9">
        <v>45675</v>
      </c>
      <c r="C17" s="5" t="s">
        <v>60</v>
      </c>
      <c r="D17" s="5" t="s">
        <v>61</v>
      </c>
      <c r="E17" s="5" t="s">
        <v>31</v>
      </c>
      <c r="F17" s="5">
        <v>1</v>
      </c>
      <c r="G17" s="5">
        <v>24000</v>
      </c>
      <c r="H17" s="3">
        <v>24000</v>
      </c>
      <c r="I17" s="5" t="s">
        <v>15</v>
      </c>
      <c r="J17" s="5" t="s">
        <v>33</v>
      </c>
      <c r="K17" s="5" t="s">
        <v>23</v>
      </c>
      <c r="L17" s="5" t="s">
        <v>18</v>
      </c>
    </row>
    <row r="18" spans="1:12" x14ac:dyDescent="0.35">
      <c r="A18" s="3">
        <v>17</v>
      </c>
      <c r="B18" s="12" t="s">
        <v>103</v>
      </c>
      <c r="C18" s="5" t="s">
        <v>62</v>
      </c>
      <c r="D18" s="5" t="s">
        <v>63</v>
      </c>
      <c r="E18" s="5" t="s">
        <v>14</v>
      </c>
      <c r="F18" s="5">
        <v>1</v>
      </c>
      <c r="G18" s="5">
        <v>9500</v>
      </c>
      <c r="H18" s="3">
        <v>9500</v>
      </c>
      <c r="I18" s="5" t="s">
        <v>21</v>
      </c>
      <c r="J18" s="5" t="s">
        <v>16</v>
      </c>
      <c r="K18" s="5" t="s">
        <v>17</v>
      </c>
      <c r="L18" s="5" t="s">
        <v>18</v>
      </c>
    </row>
    <row r="19" spans="1:12" x14ac:dyDescent="0.35">
      <c r="A19" s="3">
        <v>18</v>
      </c>
      <c r="B19" s="9">
        <v>45677</v>
      </c>
      <c r="C19" s="5" t="s">
        <v>64</v>
      </c>
      <c r="D19" s="5" t="s">
        <v>65</v>
      </c>
      <c r="E19" s="5" t="s">
        <v>31</v>
      </c>
      <c r="F19" s="5">
        <v>2</v>
      </c>
      <c r="G19" s="5">
        <v>2700</v>
      </c>
      <c r="H19" s="3">
        <v>5400</v>
      </c>
      <c r="I19" s="5" t="s">
        <v>27</v>
      </c>
      <c r="J19" s="5" t="s">
        <v>22</v>
      </c>
      <c r="K19" s="5" t="s">
        <v>34</v>
      </c>
      <c r="L19" s="5" t="s">
        <v>18</v>
      </c>
    </row>
    <row r="20" spans="1:12" x14ac:dyDescent="0.35">
      <c r="A20" s="3">
        <v>19</v>
      </c>
      <c r="B20" s="9">
        <v>45678</v>
      </c>
      <c r="C20" s="5" t="s">
        <v>66</v>
      </c>
      <c r="D20" s="5" t="s">
        <v>67</v>
      </c>
      <c r="E20" s="5" t="s">
        <v>31</v>
      </c>
      <c r="F20" s="5">
        <v>1</v>
      </c>
      <c r="G20" s="5">
        <v>15000</v>
      </c>
      <c r="H20" s="3">
        <v>15000</v>
      </c>
      <c r="I20" s="5" t="s">
        <v>32</v>
      </c>
      <c r="J20" s="5" t="s">
        <v>28</v>
      </c>
      <c r="K20" s="5" t="s">
        <v>17</v>
      </c>
      <c r="L20" s="5" t="s">
        <v>18</v>
      </c>
    </row>
    <row r="21" spans="1:12" x14ac:dyDescent="0.35">
      <c r="A21" s="3">
        <v>20</v>
      </c>
      <c r="B21" s="9">
        <v>45679</v>
      </c>
      <c r="C21" s="5" t="s">
        <v>68</v>
      </c>
      <c r="D21" s="5" t="s">
        <v>69</v>
      </c>
      <c r="E21" s="5" t="s">
        <v>26</v>
      </c>
      <c r="F21" s="5">
        <v>1</v>
      </c>
      <c r="G21" s="5">
        <v>18000</v>
      </c>
      <c r="H21" s="3">
        <v>18000</v>
      </c>
      <c r="I21" s="5" t="s">
        <v>37</v>
      </c>
      <c r="J21" s="5" t="s">
        <v>33</v>
      </c>
      <c r="K21" s="5" t="s">
        <v>23</v>
      </c>
      <c r="L21" s="5" t="s">
        <v>18</v>
      </c>
    </row>
    <row r="22" spans="1:12" x14ac:dyDescent="0.35">
      <c r="A22" s="3">
        <v>21</v>
      </c>
      <c r="B22" s="9">
        <v>45680</v>
      </c>
      <c r="C22" s="5" t="s">
        <v>70</v>
      </c>
      <c r="D22" s="5" t="s">
        <v>71</v>
      </c>
      <c r="E22" s="5" t="s">
        <v>31</v>
      </c>
      <c r="F22" s="5">
        <v>1</v>
      </c>
      <c r="G22" s="5">
        <v>2500</v>
      </c>
      <c r="H22" s="3">
        <v>2500</v>
      </c>
      <c r="I22" s="5" t="s">
        <v>15</v>
      </c>
      <c r="J22" s="5" t="s">
        <v>16</v>
      </c>
      <c r="K22" s="5" t="s">
        <v>17</v>
      </c>
      <c r="L22" s="5" t="s">
        <v>18</v>
      </c>
    </row>
    <row r="23" spans="1:12" x14ac:dyDescent="0.35">
      <c r="A23" s="3">
        <v>22</v>
      </c>
      <c r="B23" s="9">
        <v>45681</v>
      </c>
      <c r="C23" s="5" t="s">
        <v>72</v>
      </c>
      <c r="D23" s="5" t="s">
        <v>73</v>
      </c>
      <c r="E23" s="5" t="s">
        <v>14</v>
      </c>
      <c r="F23" s="5">
        <v>2</v>
      </c>
      <c r="G23" s="5">
        <v>1200</v>
      </c>
      <c r="H23" s="3">
        <v>2400</v>
      </c>
      <c r="I23" s="5" t="s">
        <v>21</v>
      </c>
      <c r="J23" s="5" t="s">
        <v>22</v>
      </c>
      <c r="K23" s="5" t="s">
        <v>44</v>
      </c>
      <c r="L23" s="5" t="s">
        <v>18</v>
      </c>
    </row>
    <row r="24" spans="1:12" x14ac:dyDescent="0.35">
      <c r="A24" s="3">
        <v>23</v>
      </c>
      <c r="B24" s="9">
        <v>45682</v>
      </c>
      <c r="C24" s="5" t="s">
        <v>74</v>
      </c>
      <c r="D24" s="5" t="s">
        <v>75</v>
      </c>
      <c r="E24" s="5" t="s">
        <v>55</v>
      </c>
      <c r="F24" s="5">
        <v>2</v>
      </c>
      <c r="G24" s="5">
        <v>1100</v>
      </c>
      <c r="H24" s="3">
        <v>2200</v>
      </c>
      <c r="I24" s="5" t="s">
        <v>27</v>
      </c>
      <c r="J24" s="5" t="s">
        <v>28</v>
      </c>
      <c r="K24" s="5" t="s">
        <v>34</v>
      </c>
      <c r="L24" s="5" t="s">
        <v>18</v>
      </c>
    </row>
    <row r="25" spans="1:12" x14ac:dyDescent="0.35">
      <c r="A25" s="3">
        <v>24</v>
      </c>
      <c r="B25" s="9">
        <v>45683</v>
      </c>
      <c r="C25" s="5" t="s">
        <v>76</v>
      </c>
      <c r="D25" s="5" t="s">
        <v>77</v>
      </c>
      <c r="E25" s="5" t="s">
        <v>26</v>
      </c>
      <c r="F25" s="5">
        <v>1</v>
      </c>
      <c r="G25" s="5">
        <v>14000</v>
      </c>
      <c r="H25" s="3">
        <v>14000</v>
      </c>
      <c r="I25" s="5" t="s">
        <v>32</v>
      </c>
      <c r="J25" s="5" t="s">
        <v>33</v>
      </c>
      <c r="K25" s="5" t="s">
        <v>17</v>
      </c>
      <c r="L25" s="5" t="s">
        <v>18</v>
      </c>
    </row>
    <row r="26" spans="1:12" x14ac:dyDescent="0.35">
      <c r="A26" s="3">
        <v>25</v>
      </c>
      <c r="B26" s="9">
        <v>45684</v>
      </c>
      <c r="C26" s="5" t="s">
        <v>78</v>
      </c>
      <c r="D26" s="5" t="s">
        <v>79</v>
      </c>
      <c r="E26" s="5" t="s">
        <v>55</v>
      </c>
      <c r="F26" s="5">
        <v>1</v>
      </c>
      <c r="G26" s="5">
        <v>1900</v>
      </c>
      <c r="H26" s="3">
        <v>1900</v>
      </c>
      <c r="I26" s="5" t="s">
        <v>37</v>
      </c>
      <c r="J26" s="5" t="s">
        <v>16</v>
      </c>
      <c r="K26" s="5" t="s">
        <v>34</v>
      </c>
      <c r="L26" s="5" t="s">
        <v>18</v>
      </c>
    </row>
    <row r="27" spans="1:12" x14ac:dyDescent="0.35">
      <c r="A27" s="3">
        <v>26</v>
      </c>
      <c r="B27" s="9">
        <v>45685</v>
      </c>
      <c r="C27" s="5" t="s">
        <v>80</v>
      </c>
      <c r="D27" s="5" t="s">
        <v>81</v>
      </c>
      <c r="E27" s="5" t="s">
        <v>14</v>
      </c>
      <c r="F27" s="5">
        <v>1</v>
      </c>
      <c r="G27" s="5">
        <v>4500</v>
      </c>
      <c r="H27" s="3">
        <v>4500</v>
      </c>
      <c r="I27" s="5" t="s">
        <v>15</v>
      </c>
      <c r="J27" s="5" t="s">
        <v>22</v>
      </c>
      <c r="K27" s="5" t="s">
        <v>17</v>
      </c>
      <c r="L27" s="5" t="s">
        <v>18</v>
      </c>
    </row>
    <row r="28" spans="1:12" x14ac:dyDescent="0.35">
      <c r="A28" s="3">
        <v>27</v>
      </c>
      <c r="B28" s="9">
        <v>45686</v>
      </c>
      <c r="C28" s="5" t="s">
        <v>82</v>
      </c>
      <c r="D28" s="5" t="s">
        <v>83</v>
      </c>
      <c r="E28" s="5" t="s">
        <v>55</v>
      </c>
      <c r="F28" s="5">
        <v>1</v>
      </c>
      <c r="G28" s="5">
        <v>2200</v>
      </c>
      <c r="H28" s="3">
        <v>2200</v>
      </c>
      <c r="I28" s="5" t="s">
        <v>21</v>
      </c>
      <c r="J28" s="5" t="s">
        <v>28</v>
      </c>
      <c r="K28" s="5" t="s">
        <v>23</v>
      </c>
      <c r="L28" s="5" t="s">
        <v>18</v>
      </c>
    </row>
    <row r="29" spans="1:12" x14ac:dyDescent="0.35">
      <c r="A29" s="3">
        <v>28</v>
      </c>
      <c r="B29" s="9">
        <v>45687</v>
      </c>
      <c r="C29" s="5" t="s">
        <v>84</v>
      </c>
      <c r="D29" s="5" t="s">
        <v>85</v>
      </c>
      <c r="E29" s="5" t="s">
        <v>86</v>
      </c>
      <c r="F29" s="5">
        <v>5</v>
      </c>
      <c r="G29" s="5">
        <v>300</v>
      </c>
      <c r="H29" s="3">
        <v>1500</v>
      </c>
      <c r="I29" s="5" t="s">
        <v>27</v>
      </c>
      <c r="J29" s="5" t="s">
        <v>33</v>
      </c>
      <c r="K29" s="5" t="s">
        <v>17</v>
      </c>
      <c r="L29" s="5" t="s">
        <v>18</v>
      </c>
    </row>
    <row r="30" spans="1:12" x14ac:dyDescent="0.35">
      <c r="A30" s="3">
        <v>29</v>
      </c>
      <c r="B30" s="9">
        <v>45688</v>
      </c>
      <c r="C30" s="5" t="s">
        <v>87</v>
      </c>
      <c r="D30" s="5" t="s">
        <v>88</v>
      </c>
      <c r="E30" s="5" t="s">
        <v>86</v>
      </c>
      <c r="F30" s="5">
        <v>10</v>
      </c>
      <c r="G30" s="5">
        <v>50</v>
      </c>
      <c r="H30" s="3">
        <v>500</v>
      </c>
      <c r="I30" s="5" t="s">
        <v>32</v>
      </c>
      <c r="J30" s="5" t="s">
        <v>16</v>
      </c>
      <c r="K30" s="5" t="s">
        <v>34</v>
      </c>
      <c r="L30" s="5" t="s">
        <v>18</v>
      </c>
    </row>
    <row r="31" spans="1:12" x14ac:dyDescent="0.35">
      <c r="A31" s="3">
        <v>30</v>
      </c>
      <c r="B31" s="12" t="s">
        <v>102</v>
      </c>
      <c r="C31" s="5" t="s">
        <v>89</v>
      </c>
      <c r="D31" s="5" t="s">
        <v>90</v>
      </c>
      <c r="E31" s="5" t="s">
        <v>86</v>
      </c>
      <c r="F31" s="5">
        <v>3</v>
      </c>
      <c r="G31" s="5">
        <v>150</v>
      </c>
      <c r="H31" s="3">
        <v>450</v>
      </c>
      <c r="I31" s="5" t="s">
        <v>37</v>
      </c>
      <c r="J31" s="10" t="s">
        <v>22</v>
      </c>
      <c r="K31" s="10" t="s">
        <v>17</v>
      </c>
      <c r="L31" s="10" t="s">
        <v>18</v>
      </c>
    </row>
    <row r="35" spans="1:4" x14ac:dyDescent="0.35">
      <c r="A35">
        <v>1</v>
      </c>
      <c r="B35" t="s">
        <v>91</v>
      </c>
    </row>
    <row r="36" spans="1:4" x14ac:dyDescent="0.35">
      <c r="A36" t="s">
        <v>101</v>
      </c>
      <c r="B36">
        <v>12</v>
      </c>
      <c r="D36" t="str">
        <f>VLOOKUP(B36,A1:L31,4,0)</f>
        <v>Printer</v>
      </c>
    </row>
    <row r="38" spans="1:4" x14ac:dyDescent="0.35">
      <c r="A38">
        <v>2</v>
      </c>
      <c r="B38" t="s">
        <v>92</v>
      </c>
    </row>
    <row r="39" spans="1:4" x14ac:dyDescent="0.35">
      <c r="A39" t="s">
        <v>101</v>
      </c>
      <c r="B39" s="5" t="s">
        <v>45</v>
      </c>
      <c r="D39" s="11">
        <f>VLOOKUP(B39,C1:L31,5,0)</f>
        <v>28000</v>
      </c>
    </row>
    <row r="41" spans="1:4" x14ac:dyDescent="0.35">
      <c r="A41">
        <v>3</v>
      </c>
      <c r="B41" t="s">
        <v>93</v>
      </c>
    </row>
    <row r="42" spans="1:4" x14ac:dyDescent="0.35">
      <c r="A42" t="s">
        <v>101</v>
      </c>
      <c r="B42">
        <v>25</v>
      </c>
      <c r="D42" s="11">
        <f>VLOOKUP(B42,A1:L31,6,0)</f>
        <v>1</v>
      </c>
    </row>
    <row r="44" spans="1:4" x14ac:dyDescent="0.35">
      <c r="A44">
        <v>4</v>
      </c>
      <c r="B44" t="s">
        <v>94</v>
      </c>
    </row>
    <row r="45" spans="1:4" x14ac:dyDescent="0.35">
      <c r="A45" t="s">
        <v>101</v>
      </c>
      <c r="B45">
        <v>19</v>
      </c>
      <c r="D45" t="str">
        <f>VLOOKUP(B45,A1:L31,10,0)</f>
        <v>South</v>
      </c>
    </row>
    <row r="47" spans="1:4" x14ac:dyDescent="0.35">
      <c r="A47">
        <v>5</v>
      </c>
      <c r="B47" t="s">
        <v>95</v>
      </c>
    </row>
    <row r="48" spans="1:4" x14ac:dyDescent="0.35">
      <c r="A48" t="s">
        <v>101</v>
      </c>
      <c r="B48">
        <v>5</v>
      </c>
      <c r="D48" t="str">
        <f>VLOOKUP(B48,A1:L31,9,0)</f>
        <v>Deepa Nair</v>
      </c>
    </row>
    <row r="50" spans="1:4" x14ac:dyDescent="0.35">
      <c r="A50">
        <v>6</v>
      </c>
      <c r="B50" t="s">
        <v>96</v>
      </c>
    </row>
    <row r="51" spans="1:4" x14ac:dyDescent="0.35">
      <c r="A51" t="s">
        <v>101</v>
      </c>
      <c r="B51" s="5" t="s">
        <v>64</v>
      </c>
      <c r="D51" t="str">
        <f>VLOOKUP(B51,C1:L31,9,0)</f>
        <v>Cash</v>
      </c>
    </row>
    <row r="53" spans="1:4" x14ac:dyDescent="0.35">
      <c r="A53">
        <v>7</v>
      </c>
      <c r="B53" t="s">
        <v>97</v>
      </c>
    </row>
    <row r="54" spans="1:4" x14ac:dyDescent="0.35">
      <c r="A54" t="s">
        <v>101</v>
      </c>
      <c r="B54" s="5" t="s">
        <v>46</v>
      </c>
      <c r="D54" s="11">
        <f>VLOOKUP(B54,D1:L31,5,0)</f>
        <v>28000</v>
      </c>
    </row>
    <row r="56" spans="1:4" x14ac:dyDescent="0.35">
      <c r="A56">
        <v>8</v>
      </c>
      <c r="B56" t="s">
        <v>98</v>
      </c>
    </row>
    <row r="57" spans="1:4" x14ac:dyDescent="0.35">
      <c r="A57" t="s">
        <v>101</v>
      </c>
      <c r="B57">
        <v>8</v>
      </c>
      <c r="D57" t="str">
        <f>VLOOKUP(B57,A1:L31,12,0)</f>
        <v>Paid</v>
      </c>
    </row>
    <row r="59" spans="1:4" x14ac:dyDescent="0.35">
      <c r="A59">
        <v>9</v>
      </c>
      <c r="B59" t="s">
        <v>99</v>
      </c>
    </row>
    <row r="60" spans="1:4" x14ac:dyDescent="0.35">
      <c r="A60" t="s">
        <v>101</v>
      </c>
      <c r="B60" s="5" t="s">
        <v>56</v>
      </c>
      <c r="D60" t="str">
        <f>VLOOKUP(B60,C1:L31,2,0)</f>
        <v>T-shirt</v>
      </c>
    </row>
    <row r="62" spans="1:4" x14ac:dyDescent="0.35">
      <c r="A62">
        <v>10</v>
      </c>
      <c r="B62" t="s">
        <v>100</v>
      </c>
    </row>
    <row r="63" spans="1:4" x14ac:dyDescent="0.35">
      <c r="A63" t="s">
        <v>101</v>
      </c>
      <c r="B63">
        <v>17</v>
      </c>
      <c r="D63" t="str">
        <f>TEXT(VLOOKUP(B63, A1:L31, 2, 1), "dd-mm-yyyy")</f>
        <v>19-01-2025</v>
      </c>
    </row>
    <row r="64" spans="1:4" x14ac:dyDescent="0.35">
      <c r="B64">
        <v>17</v>
      </c>
      <c r="D64" t="str">
        <f>VLOOKUP(B64,A1:L31,2,0)</f>
        <v>19-01-2025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Wavhal</dc:creator>
  <cp:lastModifiedBy>ADMIN</cp:lastModifiedBy>
  <dcterms:created xsi:type="dcterms:W3CDTF">2025-12-08T13:14:19Z</dcterms:created>
  <dcterms:modified xsi:type="dcterms:W3CDTF">2025-12-28T12:25:38Z</dcterms:modified>
</cp:coreProperties>
</file>